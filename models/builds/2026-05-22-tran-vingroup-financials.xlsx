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an\Leanings\VEMBA Hawaii\Corporate_Finance\Corporate-Finance\models\builds\"/>
    </mc:Choice>
  </mc:AlternateContent>
  <xr:revisionPtr revIDLastSave="0" documentId="13_ncr:1_{6AEC2B0E-D590-48BD-866D-C2296869B154}" xr6:coauthVersionLast="47" xr6:coauthVersionMax="47" xr10:uidLastSave="{00000000-0000-0000-0000-000000000000}"/>
  <bookViews>
    <workbookView xWindow="22185" yWindow="2610" windowWidth="13860" windowHeight="27600" firstSheet="3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6" i="4" s="1"/>
  <c r="D10" i="3"/>
  <c r="F10" i="3" s="1"/>
  <c r="D30" i="4"/>
  <c r="D22" i="4"/>
  <c r="F18" i="3"/>
  <c r="F8" i="3"/>
  <c r="F9" i="3"/>
  <c r="F11" i="3"/>
  <c r="F12" i="3"/>
  <c r="F14" i="3"/>
  <c r="F7" i="3"/>
  <c r="C29" i="4"/>
  <c r="C30" i="4" s="1"/>
  <c r="F75" i="5"/>
  <c r="C29" i="5"/>
  <c r="C28" i="5"/>
  <c r="C25" i="5"/>
  <c r="C23" i="5"/>
  <c r="C17" i="5"/>
  <c r="C16" i="5"/>
  <c r="C12" i="5"/>
  <c r="C7" i="5"/>
  <c r="C22" i="4"/>
  <c r="C15" i="4"/>
  <c r="C8" i="4"/>
  <c r="E18" i="3"/>
  <c r="E14" i="3"/>
  <c r="E12" i="3"/>
  <c r="E11" i="3"/>
  <c r="C10" i="3"/>
  <c r="C13" i="3" s="1"/>
  <c r="E9" i="3"/>
  <c r="E8" i="3"/>
  <c r="E7" i="3"/>
  <c r="H20" i="2"/>
  <c r="C15" i="5" s="1"/>
  <c r="G20" i="2"/>
  <c r="C32" i="5" s="1"/>
  <c r="D16" i="2"/>
  <c r="C16" i="2"/>
  <c r="D11" i="2"/>
  <c r="C11" i="2"/>
  <c r="C30" i="5" s="1"/>
  <c r="H10" i="2"/>
  <c r="H15" i="2" s="1"/>
  <c r="G10" i="2"/>
  <c r="G15" i="2" s="1"/>
  <c r="D13" i="3" l="1"/>
  <c r="D32" i="4"/>
  <c r="H23" i="2"/>
  <c r="D23" i="2"/>
  <c r="C18" i="5" s="1"/>
  <c r="C33" i="5"/>
  <c r="G23" i="2"/>
  <c r="E13" i="3"/>
  <c r="C15" i="3"/>
  <c r="C19" i="5"/>
  <c r="C38" i="5" s="1"/>
  <c r="C23" i="2"/>
  <c r="C31" i="5" s="1"/>
  <c r="C37" i="5" s="1"/>
  <c r="C24" i="5"/>
  <c r="C36" i="5" s="1"/>
  <c r="C26" i="5"/>
  <c r="E10" i="3"/>
  <c r="C27" i="5"/>
  <c r="D15" i="3" l="1"/>
  <c r="F13" i="3"/>
  <c r="C7" i="4"/>
  <c r="C16" i="4" s="1"/>
  <c r="C32" i="4" s="1"/>
  <c r="E15" i="3"/>
  <c r="C22" i="5"/>
  <c r="C19" i="3"/>
  <c r="E19" i="3" s="1"/>
  <c r="F15" i="3" l="1"/>
  <c r="D19" i="3"/>
  <c r="F19" i="3" s="1"/>
</calcChain>
</file>

<file path=xl/sharedStrings.xml><?xml version="1.0" encoding="utf-8"?>
<sst xmlns="http://schemas.openxmlformats.org/spreadsheetml/2006/main" count="354" uniqueCount="335">
  <si>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</si>
  <si>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</si>
  <si>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</si>
  <si>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</si>
  <si>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</si>
  <si>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</si>
  <si>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</si>
  <si>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</si>
  <si>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</si>
  <si>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</si>
  <si>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</si>
  <si>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</si>
  <si>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</si>
  <si>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</si>
  <si>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</si>
  <si>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</si>
  <si>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</si>
  <si>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</si>
  <si>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</si>
  <si>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</si>
  <si>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</si>
  <si>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</si>
  <si>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</si>
  <si>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</si>
  <si>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</si>
  <si>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</si>
  <si>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</si>
  <si>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</si>
  <si>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</si>
  <si>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</si>
  <si>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</si>
  <si>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</si>
  <si>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</si>
  <si>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</si>
  <si>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</si>
  <si>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</si>
  <si>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</si>
  <si>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</si>
  <si>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</si>
  <si>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</si>
  <si>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</si>
  <si>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</si>
  <si>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</si>
  <si>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</si>
  <si>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</si>
  <si>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</si>
  <si>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</si>
  <si>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</si>
  <si>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</si>
  <si>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</si>
  <si>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</si>
  <si>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</si>
  <si>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</si>
  <si>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</si>
  <si>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</si>
  <si>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</si>
  <si>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</si>
  <si>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</si>
  <si>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</si>
  <si>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</si>
  <si>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</si>
  <si>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</si>
  <si>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</si>
  <si>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</si>
  <si>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</si>
  <si>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</si>
  <si>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</si>
  <si>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</si>
  <si>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</si>
  <si>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</si>
  <si>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</si>
  <si>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</si>
  <si>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</si>
  <si>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</si>
  <si>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</si>
  <si>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</si>
  <si>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</si>
  <si>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</si>
  <si>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</si>
  <si>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</si>
  <si>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</si>
  <si>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</si>
  <si>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</si>
  <si>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</si>
  <si>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</si>
  <si>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</si>
  <si>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</si>
  <si>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</si>
  <si>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</si>
  <si>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</si>
  <si>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</si>
  <si>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</si>
  <si>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</si>
  <si>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</si>
  <si>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</si>
  <si>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</si>
  <si>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</si>
  <si>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</si>
  <si>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</si>
  <si>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</si>
  <si>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</si>
  <si>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</si>
  <si>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</si>
  <si>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</si>
  <si>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</si>
  <si>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</si>
  <si>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</si>
  <si>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</si>
  <si>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</si>
  <si>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</si>
  <si>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</si>
  <si>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</si>
  <si>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</si>
  <si>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</si>
  <si>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</si>
  <si>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</si>
  <si>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</si>
  <si>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</si>
  <si>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</si>
  <si>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</si>
  <si>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</si>
  <si>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</si>
  <si>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</si>
  <si>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</si>
  <si>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</si>
  <si>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</si>
  <si>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</si>
  <si>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</si>
  <si>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</si>
  <si>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</si>
  <si>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</si>
  <si>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</si>
  <si>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</si>
  <si>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</si>
  <si>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</si>
  <si>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</si>
  <si>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</si>
  <si>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</si>
  <si>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</si>
  <si>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</si>
  <si>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</si>
  <si>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</si>
  <si>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</si>
  <si>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</si>
  <si>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</si>
  <si>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</si>
  <si>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</si>
  <si>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</si>
  <si>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</si>
  <si>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</si>
  <si>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</si>
  <si>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</si>
  <si>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</si>
  <si>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</si>
  <si>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</si>
  <si>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</si>
  <si>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</si>
  <si>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</si>
  <si>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</si>
  <si>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</si>
  <si>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</si>
  <si>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</si>
  <si>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</si>
  <si>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</si>
  <si>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</si>
  <si>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</si>
  <si>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</si>
  <si>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</si>
  <si>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</si>
  <si>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</si>
  <si>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</si>
  <si>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</si>
  <si>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</si>
  <si>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</si>
  <si>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</si>
  <si>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</si>
  <si>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</si>
  <si>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</si>
  <si>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</si>
  <si>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</si>
  <si>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</si>
  <si>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</si>
  <si>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</si>
  <si>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</si>
  <si>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</si>
  <si>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</si>
  <si>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</si>
  <si>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</si>
  <si>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</si>
  <si>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</si>
  <si>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</si>
  <si>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</si>
  <si>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</si>
  <si>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</si>
  <si>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</si>
  <si>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</si>
  <si>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</si>
  <si>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</si>
  <si>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</si>
  <si>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</si>
  <si>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</si>
  <si>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</si>
  <si>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</si>
  <si>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</si>
  <si>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</si>
  <si>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</si>
  <si>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</si>
  <si>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</si>
  <si>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</si>
  <si>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</si>
  <si>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</si>
  <si>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</si>
  <si>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</si>
  <si>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</si>
  <si>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</si>
  <si>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</si>
  <si>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</si>
  <si>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</si>
  <si>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</si>
  <si>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</si>
  <si>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</si>
  <si>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</si>
  <si>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</si>
  <si>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</si>
  <si>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</si>
  <si>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</si>
  <si>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</si>
  <si>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</si>
  <si>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</si>
  <si>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</si>
  <si>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</si>
  <si>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</si>
  <si>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</si>
  <si>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</si>
  <si>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</si>
  <si>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</si>
  <si>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</si>
  <si>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</si>
  <si>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</si>
  <si>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</si>
  <si>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</si>
  <si>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</si>
  <si>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</si>
  <si>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</si>
  <si>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</si>
  <si>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</si>
  <si>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</si>
  <si>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</si>
  <si>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</si>
  <si>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</si>
  <si>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</si>
  <si>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</si>
  <si>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</si>
  <si>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</si>
  <si>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</si>
  <si>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</si>
  <si>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</si>
  <si>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</si>
  <si>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</si>
  <si>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</si>
  <si>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</si>
  <si>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</si>
  <si>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</si>
  <si>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</si>
  <si>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</si>
  <si>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</si>
  <si>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</si>
  <si>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</si>
  <si>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</si>
  <si>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</si>
  <si>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</si>
  <si>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</si>
  <si>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</si>
  <si>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</si>
  <si>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</si>
  <si>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</si>
  <si>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</si>
  <si>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</si>
  <si>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</si>
  <si>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</si>
  <si>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</si>
  <si>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Company</t>
  </si>
  <si>
    <t>Vingroup Joint Stock Company</t>
  </si>
  <si>
    <t>Ticker</t>
  </si>
  <si>
    <t>VIC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</si>
  <si>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</si>
  <si>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</si>
  <si>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</si>
  <si>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</si>
  <si>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</si>
  <si>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</si>
  <si>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</si>
  <si>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</si>
  <si>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169,600 VND per share — closing price on December 31, 2025 (HOSE). Source: Vietstock / HOSE portal.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</si>
  <si>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</si>
  <si>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</si>
  <si>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</si>
  <si>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</si>
  <si>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</si>
  <si>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</si>
  <si>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</si>
  <si>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</si>
  <si>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</si>
  <si>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</si>
  <si>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</si>
  <si>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</si>
  <si>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</si>
  <si>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</si>
  <si>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</si>
  <si>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</si>
  <si>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Estimated WACC of 12.0%
- Risk-free rate  of 9.5% (10-yr VGB yield),
- Equity risk premium of 5.5%,
- Beta of 1.56 (Yahoo Finance 5Y monthly,
- Debt weight of 67% (D/V),
- Cost of debt of 9-10% (Vingroup coupon rates)</t>
  </si>
  <si>
    <t>Vingroup Annual Report 2025 (audited consolidated financials, VAS) — https://vingroup.net/en/investor-relations | HOSE disclosure portal | VinFast Nasdaq disclosures: investors.vinfastauto.com</t>
  </si>
  <si>
    <t>FY2025</t>
  </si>
  <si>
    <t>FY2024</t>
  </si>
  <si>
    <t>Diversified Conglomerate: Real Estate, EV/Auto (VinFast), Hospitality, Healthcare</t>
  </si>
  <si>
    <t>20% - Standard corporate income tax rate in Vietnam. Vingroup applies 20% as the statutory rate. Effective rate may vary by subsidiary;</t>
  </si>
  <si>
    <t>All figures in VND millions unless otherwise noted</t>
  </si>
  <si>
    <t>All figures in VND millions, NOT USD millions. Exchange rate reference: State Bank of Vietnam year-end rate (25,450 VND/USD as of 31 Dec 2025).</t>
  </si>
  <si>
    <t>Current fiscal year · figures in VND millions</t>
  </si>
  <si>
    <t>% of Sales
in FY Current</t>
  </si>
  <si>
    <t xml:space="preserve">% of Sales
in FY Prior </t>
  </si>
  <si>
    <t>Vingroup Joint Stock Company (VIC, HOSE)</t>
  </si>
  <si>
    <t>Source</t>
  </si>
  <si>
    <t>Reporting Standard</t>
  </si>
  <si>
    <t>Vietnamese Accounting Standards (VAS)</t>
  </si>
  <si>
    <t>Currency / Units</t>
  </si>
  <si>
    <t>Fiscal Year End</t>
  </si>
  <si>
    <t>Prepared by</t>
  </si>
  <si>
    <t>Tan Tran — BUS-629 VEMBA Stage 3</t>
  </si>
  <si>
    <t>Items</t>
  </si>
  <si>
    <t>VND million</t>
  </si>
  <si>
    <t>31 December 2025 (FY Current) / 31 December 2024 (FY Prior)</t>
  </si>
  <si>
    <t>Share price (VND/share)</t>
  </si>
  <si>
    <t>7,706 million shares (7,706,031,024 shares), total shares outstanding as of FY2025. Source: Vingroup FY2025 Annual Report. Implied market cap: VND 1,308,182 billion (~USD 51.4 billion at 25,450 VND/USD).</t>
  </si>
  <si>
    <t>Market capitalization (VND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</si>
</sst>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#,##0;\(#,##0\);&quot;—&quot;"/>
    <numFmt numFmtId="165" formatCode="0.0%"/>
    <numFmt numFmtId="166" formatCode="0.0%;\(0.0%\);&quot;—&quot;"/>
    <numFmt numFmtId="168" formatCode="#,##0.00;\(#,##0.00\);&quot;—&quot;"/>
    <numFmt numFmtId="169" formatCode="0.00&quot;x&quot;"/>
    <numFmt numFmtId="170" formatCode="0.0&quot; days&quot;"/>
    <numFmt numFmtId="171" formatCode="0.000"/>
    <numFmt numFmtId="177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Open Sans"/>
      <family val="2"/>
    </font>
    <font>
      <i/>
      <sz val="9"/>
      <color rgb="FF525252"/>
      <name val="Open Sans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43" fontId="21" fillId="0" borderId="0" applyFont="0" applyFill="0" applyBorder="0" applyAlignment="0" applyProtection="0"/>
  </cellStyleXfs>
  <cellXfs count="61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9" fillId="0" borderId="0" xfId="0" applyFont="1" applyAlignment="1">
      <alignment vertical="top" wrapText="1"/>
    </xf>
    <xf numFmtId="164" fontId="19" fillId="4" borderId="1" xfId="0" applyNumberFormat="1" applyFont="1" applyFill="1" applyBorder="1"/>
    <xf numFmtId="0" fontId="20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0" borderId="0" xfId="0" applyFont="1"/>
    <xf numFmtId="0" fontId="0" fillId="0" borderId="0" xfId="0" applyAlignment="1">
      <alignment wrapText="1"/>
    </xf>
    <xf numFmtId="177" fontId="8" fillId="5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9"/>
  <sheetViews>
    <sheetView showGridLines="0" workbookViewId="0">
      <selection activeCell="C56" sqref="C56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7" t="s">
        <v>0</v>
      </c>
      <c r="C4" s="48"/>
    </row>
    <row r="5" spans="2:3" ht="26.1" customHeight="1" x14ac:dyDescent="0.5">
      <c r="B5" s="51" t="s">
        <v>1</v>
      </c>
      <c r="C5" s="48"/>
    </row>
    <row r="6" spans="2:3" ht="18" customHeight="1" x14ac:dyDescent="0.35">
      <c r="B6" s="49" t="s">
        <v>2</v>
      </c>
      <c r="C6" s="48"/>
    </row>
    <row r="7" spans="2:3" ht="3.95" customHeight="1" x14ac:dyDescent="0.25">
      <c r="B7" s="2"/>
      <c r="C7" s="2"/>
    </row>
    <row r="9" spans="2:3" ht="19.5" customHeight="1" x14ac:dyDescent="0.35">
      <c r="B9" s="50" t="s">
        <v>3</v>
      </c>
      <c r="C9" s="48"/>
    </row>
    <row r="10" spans="2:3" ht="18" customHeight="1" x14ac:dyDescent="0.25">
      <c r="B10" s="3" t="s">
        <v>4</v>
      </c>
      <c r="C10" s="4" t="s">
        <v>5</v>
      </c>
    </row>
    <row r="11" spans="2:3" ht="18" customHeight="1" x14ac:dyDescent="0.25">
      <c r="B11" s="3" t="s">
        <v>6</v>
      </c>
      <c r="C11" s="4" t="s">
        <v>7</v>
      </c>
    </row>
    <row r="12" spans="2:3" ht="18" customHeight="1" x14ac:dyDescent="0.25">
      <c r="B12" s="3" t="s">
        <v>8</v>
      </c>
      <c r="C12" s="4" t="s">
        <v>9</v>
      </c>
    </row>
    <row r="13" spans="2:3" ht="18" customHeight="1" x14ac:dyDescent="0.25">
      <c r="B13" s="3" t="s">
        <v>10</v>
      </c>
      <c r="C13" s="4" t="s">
        <v>11</v>
      </c>
    </row>
    <row r="14" spans="2:3" ht="18" customHeight="1" x14ac:dyDescent="0.25">
      <c r="B14" s="3" t="s">
        <v>12</v>
      </c>
      <c r="C14" s="4" t="s">
        <v>13</v>
      </c>
    </row>
    <row r="15" spans="2:3" ht="18" customHeight="1" x14ac:dyDescent="0.25">
      <c r="B15" s="3" t="s">
        <v>14</v>
      </c>
      <c r="C15" s="4" t="s">
        <v>15</v>
      </c>
    </row>
    <row r="17" spans="2:3" ht="19.5" customHeight="1" x14ac:dyDescent="0.35">
      <c r="B17" s="50" t="s">
        <v>16</v>
      </c>
      <c r="C17" s="48"/>
    </row>
    <row r="18" spans="2:3" ht="16.5" customHeight="1" x14ac:dyDescent="0.3">
      <c r="B18" s="5" t="s">
        <v>17</v>
      </c>
      <c r="C18" s="5" t="s">
        <v>18</v>
      </c>
    </row>
    <row r="19" spans="2:3" ht="30" customHeight="1" x14ac:dyDescent="0.3">
      <c r="B19" s="6" t="s">
        <v>19</v>
      </c>
      <c r="C19" s="7" t="s">
        <v>20</v>
      </c>
    </row>
    <row r="20" spans="2:3" ht="30" customHeight="1" x14ac:dyDescent="0.3">
      <c r="B20" s="8" t="s">
        <v>21</v>
      </c>
      <c r="C20" s="7" t="s">
        <v>22</v>
      </c>
    </row>
    <row r="21" spans="2:3" ht="30" customHeight="1" x14ac:dyDescent="0.3">
      <c r="B21" s="9" t="s">
        <v>23</v>
      </c>
      <c r="C21" s="7" t="s">
        <v>24</v>
      </c>
    </row>
    <row r="22" spans="2:3" ht="30" customHeight="1" x14ac:dyDescent="0.3">
      <c r="B22" s="10" t="s">
        <v>25</v>
      </c>
      <c r="C22" s="7" t="s">
        <v>26</v>
      </c>
    </row>
    <row r="24" spans="2:3" ht="19.5" customHeight="1" x14ac:dyDescent="0.35">
      <c r="B24" s="50" t="s">
        <v>27</v>
      </c>
      <c r="C24" s="48"/>
    </row>
    <row r="25" spans="2:3" ht="16.5" customHeight="1" x14ac:dyDescent="0.3">
      <c r="B25" s="5" t="s">
        <v>28</v>
      </c>
      <c r="C25" s="5" t="s">
        <v>18</v>
      </c>
    </row>
    <row r="26" spans="2:3" ht="24" customHeight="1" x14ac:dyDescent="0.25">
      <c r="B26" s="11" t="s">
        <v>29</v>
      </c>
      <c r="C26" s="7" t="s">
        <v>30</v>
      </c>
    </row>
    <row r="27" spans="2:3" ht="24" customHeight="1" x14ac:dyDescent="0.25">
      <c r="B27" s="11" t="s">
        <v>31</v>
      </c>
      <c r="C27" s="7" t="s">
        <v>32</v>
      </c>
    </row>
    <row r="28" spans="2:3" ht="24" customHeight="1" x14ac:dyDescent="0.25">
      <c r="B28" s="11" t="s">
        <v>33</v>
      </c>
      <c r="C28" s="7" t="s">
        <v>34</v>
      </c>
    </row>
    <row r="29" spans="2:3" ht="24" customHeight="1" x14ac:dyDescent="0.25">
      <c r="B29" s="11" t="s">
        <v>35</v>
      </c>
      <c r="C29" s="7" t="s">
        <v>36</v>
      </c>
    </row>
    <row r="30" spans="2:3" ht="24" customHeight="1" x14ac:dyDescent="0.25">
      <c r="B30" s="11" t="s">
        <v>37</v>
      </c>
      <c r="C30" s="7" t="s">
        <v>38</v>
      </c>
    </row>
    <row r="31" spans="2:3" ht="24" customHeight="1" x14ac:dyDescent="0.25">
      <c r="B31" s="11" t="s">
        <v>39</v>
      </c>
      <c r="C31" s="7" t="s">
        <v>40</v>
      </c>
    </row>
    <row r="32" spans="2:3" ht="24" customHeight="1" x14ac:dyDescent="0.25">
      <c r="B32" s="11" t="s">
        <v>41</v>
      </c>
      <c r="C32" s="7" t="s">
        <v>42</v>
      </c>
    </row>
    <row r="33" spans="2:3" ht="24" customHeight="1" x14ac:dyDescent="0.25">
      <c r="B33" s="11" t="s">
        <v>43</v>
      </c>
      <c r="C33" s="7" t="s">
        <v>44</v>
      </c>
    </row>
    <row r="36" spans="2:3" ht="19.5" customHeight="1" x14ac:dyDescent="0.35">
      <c r="B36" s="50" t="s">
        <v>45</v>
      </c>
      <c r="C36" s="48"/>
    </row>
    <row r="37" spans="2:3" ht="15" customHeight="1" x14ac:dyDescent="0.3">
      <c r="B37" s="12" t="s">
        <v>46</v>
      </c>
      <c r="C37" s="13" t="s">
        <v>47</v>
      </c>
    </row>
    <row r="38" spans="2:3" ht="15" customHeight="1" x14ac:dyDescent="0.3">
      <c r="B38" s="12" t="s">
        <v>48</v>
      </c>
      <c r="C38" s="13" t="s">
        <v>49</v>
      </c>
    </row>
    <row r="41" spans="2:3" x14ac:dyDescent="0.25">
      <c r="B41" s="52" t="s">
        <v>50</v>
      </c>
      <c r="C41" s="48"/>
    </row>
    <row r="43" spans="2:3" ht="16.5" x14ac:dyDescent="0.3">
      <c r="B43" s="5" t="s">
        <v>329</v>
      </c>
      <c r="C43" s="5" t="s">
        <v>18</v>
      </c>
    </row>
    <row r="44" spans="2:3" x14ac:dyDescent="0.25">
      <c r="B44" s="58" t="s">
        <v>281</v>
      </c>
      <c r="C44" t="s">
        <v>321</v>
      </c>
    </row>
    <row r="45" spans="2:3" ht="30.75" customHeight="1" x14ac:dyDescent="0.25">
      <c r="B45" s="58" t="s">
        <v>322</v>
      </c>
      <c r="C45" s="59" t="s">
        <v>311</v>
      </c>
    </row>
    <row r="46" spans="2:3" x14ac:dyDescent="0.25">
      <c r="B46" s="58" t="s">
        <v>323</v>
      </c>
      <c r="C46" t="s">
        <v>324</v>
      </c>
    </row>
    <row r="47" spans="2:3" x14ac:dyDescent="0.25">
      <c r="B47" s="58" t="s">
        <v>325</v>
      </c>
      <c r="C47" t="s">
        <v>330</v>
      </c>
    </row>
    <row r="48" spans="2:3" x14ac:dyDescent="0.25">
      <c r="B48" s="58" t="s">
        <v>326</v>
      </c>
      <c r="C48" t="s">
        <v>331</v>
      </c>
    </row>
    <row r="49" spans="2:3" x14ac:dyDescent="0.25">
      <c r="B49" s="58" t="s">
        <v>327</v>
      </c>
      <c r="C49" t="s">
        <v>328</v>
      </c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" sqref="C5:D5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4">
      <c r="B2" s="14" t="s">
        <v>51</v>
      </c>
    </row>
    <row r="3" spans="2:8" ht="15.75" x14ac:dyDescent="0.3">
      <c r="B3" s="46" t="s">
        <v>316</v>
      </c>
    </row>
    <row r="5" spans="2:8" ht="16.5" customHeight="1" x14ac:dyDescent="0.3">
      <c r="B5" s="16" t="s">
        <v>52</v>
      </c>
      <c r="C5" s="17" t="s">
        <v>53</v>
      </c>
      <c r="D5" s="17" t="s">
        <v>54</v>
      </c>
      <c r="F5" s="16" t="s">
        <v>55</v>
      </c>
      <c r="G5" s="17" t="s">
        <v>53</v>
      </c>
      <c r="H5" s="17" t="s">
        <v>54</v>
      </c>
    </row>
    <row r="6" spans="2:8" ht="15" customHeight="1" x14ac:dyDescent="0.3">
      <c r="B6" s="18" t="s">
        <v>56</v>
      </c>
      <c r="F6" s="18" t="s">
        <v>57</v>
      </c>
    </row>
    <row r="7" spans="2:8" ht="15" customHeight="1" x14ac:dyDescent="0.3">
      <c r="B7" s="12" t="s">
        <v>58</v>
      </c>
      <c r="C7" s="45">
        <v>83380686</v>
      </c>
      <c r="D7" s="45">
        <v>51301250</v>
      </c>
      <c r="F7" s="12" t="s">
        <v>59</v>
      </c>
      <c r="G7" s="45">
        <v>114000484</v>
      </c>
      <c r="H7" s="45">
        <v>95189145</v>
      </c>
    </row>
    <row r="8" spans="2:8" ht="15" customHeight="1" x14ac:dyDescent="0.3">
      <c r="B8" s="12" t="s">
        <v>60</v>
      </c>
      <c r="C8" s="45">
        <v>267209963</v>
      </c>
      <c r="D8" s="45">
        <v>190046565</v>
      </c>
      <c r="F8" s="12" t="s">
        <v>61</v>
      </c>
      <c r="G8" s="45">
        <v>57785917</v>
      </c>
      <c r="H8" s="45">
        <v>45035056</v>
      </c>
    </row>
    <row r="9" spans="2:8" ht="15" customHeight="1" x14ac:dyDescent="0.3">
      <c r="B9" s="12" t="s">
        <v>62</v>
      </c>
      <c r="C9" s="45">
        <v>201580276</v>
      </c>
      <c r="D9" s="45">
        <v>114090183</v>
      </c>
      <c r="F9" s="12" t="s">
        <v>63</v>
      </c>
      <c r="G9" s="45">
        <v>415668163</v>
      </c>
      <c r="H9" s="45">
        <v>365067839</v>
      </c>
    </row>
    <row r="10" spans="2:8" ht="15" customHeight="1" x14ac:dyDescent="0.3">
      <c r="B10" s="12" t="s">
        <v>64</v>
      </c>
      <c r="C10" s="45">
        <v>106601539</v>
      </c>
      <c r="D10" s="45">
        <v>41041913</v>
      </c>
      <c r="F10" s="20" t="s">
        <v>65</v>
      </c>
      <c r="G10" s="21">
        <f>SUM(G7:G9)</f>
        <v>587454564</v>
      </c>
      <c r="H10" s="21">
        <f>SUM(H7:H9)</f>
        <v>505292040</v>
      </c>
    </row>
    <row r="11" spans="2:8" ht="15" customHeight="1" x14ac:dyDescent="0.3">
      <c r="B11" s="20" t="s">
        <v>66</v>
      </c>
      <c r="C11" s="21">
        <f>SUM(C7:C10)</f>
        <v>658772464</v>
      </c>
      <c r="D11" s="21">
        <f>SUM(D7:D10)</f>
        <v>396479911</v>
      </c>
    </row>
    <row r="12" spans="2:8" ht="15" customHeight="1" x14ac:dyDescent="0.3">
      <c r="F12" s="12" t="s">
        <v>67</v>
      </c>
      <c r="G12" s="45">
        <v>224500548</v>
      </c>
      <c r="H12" s="45">
        <v>132730912</v>
      </c>
    </row>
    <row r="13" spans="2:8" ht="15" customHeight="1" x14ac:dyDescent="0.3">
      <c r="B13" s="18" t="s">
        <v>68</v>
      </c>
      <c r="F13" s="12" t="s">
        <v>69</v>
      </c>
      <c r="G13" s="45">
        <v>155178578</v>
      </c>
      <c r="H13" s="45">
        <v>44746470</v>
      </c>
    </row>
    <row r="14" spans="2:8" ht="15" customHeight="1" x14ac:dyDescent="0.3">
      <c r="B14" s="12" t="s">
        <v>70</v>
      </c>
      <c r="C14" s="45">
        <v>298694616</v>
      </c>
      <c r="D14" s="45">
        <v>258629492</v>
      </c>
    </row>
    <row r="15" spans="2:8" ht="15" customHeight="1" x14ac:dyDescent="0.3">
      <c r="B15" s="12" t="s">
        <v>71</v>
      </c>
      <c r="C15" s="45">
        <v>103300472</v>
      </c>
      <c r="D15" s="45">
        <v>75686159</v>
      </c>
      <c r="F15" s="20" t="s">
        <v>72</v>
      </c>
      <c r="G15" s="21">
        <f>G10+G12+G13</f>
        <v>967133690</v>
      </c>
      <c r="H15" s="21">
        <f>H10+H12+H13</f>
        <v>682769422</v>
      </c>
    </row>
    <row r="16" spans="2:8" ht="15" customHeight="1" x14ac:dyDescent="0.3">
      <c r="B16" s="20" t="s">
        <v>73</v>
      </c>
      <c r="C16" s="21">
        <f>C14-C15</f>
        <v>195394144</v>
      </c>
      <c r="D16" s="21">
        <f>D14-D15</f>
        <v>182943333</v>
      </c>
    </row>
    <row r="17" spans="2:8" ht="15" customHeight="1" x14ac:dyDescent="0.3">
      <c r="F17" s="18" t="s">
        <v>74</v>
      </c>
    </row>
    <row r="18" spans="2:8" ht="15" customHeight="1" x14ac:dyDescent="0.3">
      <c r="B18" s="18" t="s">
        <v>75</v>
      </c>
      <c r="F18" s="12" t="s">
        <v>76</v>
      </c>
      <c r="G18" s="45">
        <v>97211548</v>
      </c>
      <c r="H18" s="45">
        <v>109366131</v>
      </c>
    </row>
    <row r="19" spans="2:8" ht="15" customHeight="1" x14ac:dyDescent="0.3">
      <c r="B19" s="12" t="s">
        <v>77</v>
      </c>
      <c r="C19" s="45">
        <v>3955994</v>
      </c>
      <c r="D19" s="45">
        <v>4517414</v>
      </c>
      <c r="F19" s="12" t="s">
        <v>78</v>
      </c>
      <c r="G19" s="45">
        <v>54277387</v>
      </c>
      <c r="H19" s="45">
        <v>44468350</v>
      </c>
    </row>
    <row r="20" spans="2:8" ht="15" customHeight="1" x14ac:dyDescent="0.3">
      <c r="B20" s="12" t="s">
        <v>79</v>
      </c>
      <c r="C20" s="45">
        <v>260500023</v>
      </c>
      <c r="D20" s="45">
        <v>252663245</v>
      </c>
      <c r="F20" s="20" t="s">
        <v>80</v>
      </c>
      <c r="G20" s="21">
        <f>G18+G19</f>
        <v>151488935</v>
      </c>
      <c r="H20" s="21">
        <f>H18+H19</f>
        <v>153834481</v>
      </c>
    </row>
    <row r="22" spans="2:8" ht="16.5" customHeight="1" x14ac:dyDescent="0.25"/>
    <row r="23" spans="2:8" ht="16.5" customHeight="1" x14ac:dyDescent="0.3">
      <c r="B23" s="5" t="s">
        <v>81</v>
      </c>
      <c r="C23" s="22">
        <f>C11+C16+C19+C20</f>
        <v>1118622625</v>
      </c>
      <c r="D23" s="22">
        <f>D11+D16+D19+D20</f>
        <v>836603903</v>
      </c>
      <c r="F23" s="5" t="s">
        <v>82</v>
      </c>
      <c r="G23" s="22">
        <f>G15+G20</f>
        <v>1118622625</v>
      </c>
      <c r="H23" s="22">
        <f>H15+H20</f>
        <v>836603903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1" sqref="E31"/>
    </sheetView>
  </sheetViews>
  <sheetFormatPr defaultRowHeight="15" x14ac:dyDescent="0.25"/>
  <cols>
    <col min="1" max="1" width="2" customWidth="1"/>
    <col min="2" max="2" width="45" customWidth="1"/>
    <col min="3" max="4" width="16" customWidth="1"/>
    <col min="5" max="5" width="16.140625" customWidth="1"/>
    <col min="6" max="6" width="15.28515625" customWidth="1"/>
  </cols>
  <sheetData>
    <row r="2" spans="2:6" ht="23.1" customHeight="1" x14ac:dyDescent="0.4">
      <c r="B2" s="14" t="s">
        <v>83</v>
      </c>
    </row>
    <row r="3" spans="2:6" ht="15.75" x14ac:dyDescent="0.3">
      <c r="B3" s="15" t="s">
        <v>318</v>
      </c>
    </row>
    <row r="5" spans="2:6" s="57" customFormat="1" ht="37.5" customHeight="1" x14ac:dyDescent="0.25">
      <c r="B5" s="55" t="s">
        <v>84</v>
      </c>
      <c r="C5" s="56" t="s">
        <v>53</v>
      </c>
      <c r="D5" s="56" t="s">
        <v>54</v>
      </c>
      <c r="E5" s="54" t="s">
        <v>319</v>
      </c>
      <c r="F5" s="54" t="s">
        <v>320</v>
      </c>
    </row>
    <row r="6" spans="2:6" ht="15" customHeight="1" x14ac:dyDescent="0.3">
      <c r="B6" s="12" t="s">
        <v>85</v>
      </c>
      <c r="C6" s="19">
        <v>331837561</v>
      </c>
      <c r="D6" s="19">
        <v>189068040</v>
      </c>
      <c r="E6" s="24">
        <v>1</v>
      </c>
      <c r="F6" s="24">
        <v>1</v>
      </c>
    </row>
    <row r="7" spans="2:6" ht="15" customHeight="1" x14ac:dyDescent="0.3">
      <c r="B7" s="12" t="s">
        <v>86</v>
      </c>
      <c r="C7" s="19">
        <v>247489507</v>
      </c>
      <c r="D7" s="19">
        <v>139140098</v>
      </c>
      <c r="E7" s="25">
        <f>IFERROR(C7/$C$6,"")</f>
        <v>0.74581523036206265</v>
      </c>
      <c r="F7" s="25">
        <f>IFERROR(D7/$D$6,"")</f>
        <v>0.73592606132691707</v>
      </c>
    </row>
    <row r="8" spans="2:6" ht="15" customHeight="1" x14ac:dyDescent="0.3">
      <c r="B8" s="12" t="s">
        <v>87</v>
      </c>
      <c r="C8" s="19">
        <v>49053914</v>
      </c>
      <c r="D8" s="19">
        <v>33202226</v>
      </c>
      <c r="E8" s="25">
        <f>IFERROR(C8/$C$6,"")</f>
        <v>0.1478250799944856</v>
      </c>
      <c r="F8" s="25">
        <f t="shared" ref="F8:F14" si="0">IFERROR(D8/$D$6,"")</f>
        <v>0.17560993386296278</v>
      </c>
    </row>
    <row r="9" spans="2:6" ht="15" customHeight="1" x14ac:dyDescent="0.3">
      <c r="B9" s="12" t="s">
        <v>88</v>
      </c>
      <c r="C9" s="19">
        <v>31665247</v>
      </c>
      <c r="D9" s="19">
        <v>22627124</v>
      </c>
      <c r="E9" s="25">
        <f>IFERROR(C9/$C$6,"")</f>
        <v>9.5423938461264179E-2</v>
      </c>
      <c r="F9" s="25">
        <f t="shared" si="0"/>
        <v>0.1196771490305818</v>
      </c>
    </row>
    <row r="10" spans="2:6" ht="15" customHeight="1" x14ac:dyDescent="0.3">
      <c r="B10" s="20" t="s">
        <v>89</v>
      </c>
      <c r="C10" s="21">
        <f>C6-C7-C8-C9</f>
        <v>3628893</v>
      </c>
      <c r="D10" s="21">
        <f>D6-D7-D8-D9</f>
        <v>-5901408</v>
      </c>
      <c r="E10" s="25">
        <f>IFERROR(C10/$C$6,"")</f>
        <v>1.0935751182187601E-2</v>
      </c>
      <c r="F10" s="25">
        <f t="shared" si="0"/>
        <v>-3.1213144220461585E-2</v>
      </c>
    </row>
    <row r="11" spans="2:6" ht="15" customHeight="1" x14ac:dyDescent="0.3">
      <c r="B11" s="12" t="s">
        <v>90</v>
      </c>
      <c r="C11" s="19">
        <v>51968218</v>
      </c>
      <c r="D11" s="19">
        <v>45620158</v>
      </c>
      <c r="E11" s="25">
        <f>IFERROR(C11/$C$6,"")</f>
        <v>0.15660740105307128</v>
      </c>
      <c r="F11" s="25">
        <f t="shared" si="0"/>
        <v>0.24128963308658619</v>
      </c>
    </row>
    <row r="12" spans="2:6" ht="15" customHeight="1" x14ac:dyDescent="0.3">
      <c r="B12" s="12" t="s">
        <v>91</v>
      </c>
      <c r="C12" s="19">
        <v>29159736</v>
      </c>
      <c r="D12" s="19">
        <v>22980044</v>
      </c>
      <c r="E12" s="25">
        <f>IFERROR(C12/$C$6,"")</f>
        <v>8.7873524359709243E-2</v>
      </c>
      <c r="F12" s="25">
        <f t="shared" si="0"/>
        <v>0.12154377863122715</v>
      </c>
    </row>
    <row r="13" spans="2:6" ht="15" customHeight="1" x14ac:dyDescent="0.3">
      <c r="B13" s="20" t="s">
        <v>92</v>
      </c>
      <c r="C13" s="21">
        <f>C10+C11-C12</f>
        <v>26437375</v>
      </c>
      <c r="D13" s="21">
        <f>D10+D11-D12</f>
        <v>16738706</v>
      </c>
      <c r="E13" s="25">
        <f>IFERROR(C13/$C$6,"")</f>
        <v>7.9669627875549626E-2</v>
      </c>
      <c r="F13" s="25">
        <f t="shared" si="0"/>
        <v>8.8532710234897449E-2</v>
      </c>
    </row>
    <row r="14" spans="2:6" ht="15" customHeight="1" x14ac:dyDescent="0.3">
      <c r="B14" s="12" t="s">
        <v>93</v>
      </c>
      <c r="C14" s="19">
        <v>15372561</v>
      </c>
      <c r="D14" s="19">
        <v>11462648</v>
      </c>
      <c r="E14" s="25">
        <f>IFERROR(C14/$C$6,"")</f>
        <v>4.6325560475054241E-2</v>
      </c>
      <c r="F14" s="25">
        <f t="shared" si="0"/>
        <v>6.0627105458965991E-2</v>
      </c>
    </row>
    <row r="15" spans="2:6" ht="16.5" customHeight="1" x14ac:dyDescent="0.3">
      <c r="B15" s="5" t="s">
        <v>94</v>
      </c>
      <c r="C15" s="22">
        <f>C13-C14</f>
        <v>11064814</v>
      </c>
      <c r="D15" s="22">
        <f>D13-D14</f>
        <v>5276058</v>
      </c>
      <c r="E15" s="26">
        <f>IFERROR(C15/$C$6,"")</f>
        <v>3.3344067400495392E-2</v>
      </c>
      <c r="F15" s="26">
        <f>IFERROR(D15/$D$6,"")</f>
        <v>2.7905604775931458E-2</v>
      </c>
    </row>
    <row r="17" spans="2:6" ht="15" customHeight="1" x14ac:dyDescent="0.3">
      <c r="B17" s="18" t="s">
        <v>95</v>
      </c>
    </row>
    <row r="18" spans="2:6" ht="15" customHeight="1" x14ac:dyDescent="0.3">
      <c r="B18" s="12" t="s">
        <v>96</v>
      </c>
      <c r="C18" s="19"/>
      <c r="D18" s="19">
        <v>666188</v>
      </c>
      <c r="E18" s="25">
        <f>IFERROR(C18/$C$6,"")</f>
        <v>0</v>
      </c>
      <c r="F18" s="25">
        <f>IFERROR(D18/$D$6,"")</f>
        <v>3.5235357599306578E-3</v>
      </c>
    </row>
    <row r="19" spans="2:6" ht="15" customHeight="1" x14ac:dyDescent="0.3">
      <c r="B19" s="20" t="s">
        <v>97</v>
      </c>
      <c r="C19" s="21">
        <f>C15-C18</f>
        <v>11064814</v>
      </c>
      <c r="D19" s="21">
        <f>D15-D18</f>
        <v>4609870</v>
      </c>
      <c r="E19" s="25">
        <f>IFERROR(C19/$C$6,"")</f>
        <v>3.3344067400495392E-2</v>
      </c>
      <c r="F19" s="25">
        <f>IFERROR(D19/$D$6,"")</f>
        <v>2.4382069016000801E-2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0" sqref="C50"/>
    </sheetView>
  </sheetViews>
  <sheetFormatPr defaultRowHeight="15" x14ac:dyDescent="0.25"/>
  <cols>
    <col min="1" max="1" width="2" customWidth="1"/>
    <col min="2" max="2" width="50" customWidth="1"/>
    <col min="3" max="4" width="16" customWidth="1"/>
    <col min="5" max="5" width="24" customWidth="1"/>
  </cols>
  <sheetData>
    <row r="2" spans="2:5" ht="23.1" customHeight="1" x14ac:dyDescent="0.4">
      <c r="B2" s="14" t="s">
        <v>98</v>
      </c>
    </row>
    <row r="3" spans="2:5" ht="15.75" x14ac:dyDescent="0.3">
      <c r="B3" s="15" t="s">
        <v>318</v>
      </c>
    </row>
    <row r="5" spans="2:5" ht="16.5" customHeight="1" x14ac:dyDescent="0.3">
      <c r="B5" s="23" t="s">
        <v>84</v>
      </c>
      <c r="C5" s="56" t="s">
        <v>53</v>
      </c>
      <c r="D5" s="56" t="s">
        <v>54</v>
      </c>
      <c r="E5" s="23" t="s">
        <v>99</v>
      </c>
    </row>
    <row r="6" spans="2:5" ht="15" customHeight="1" x14ac:dyDescent="0.3">
      <c r="B6" s="18" t="s">
        <v>100</v>
      </c>
      <c r="E6" s="15"/>
    </row>
    <row r="7" spans="2:5" ht="15" customHeight="1" x14ac:dyDescent="0.3">
      <c r="B7" s="12" t="s">
        <v>101</v>
      </c>
      <c r="C7" s="27">
        <f>INC_net</f>
        <v>11064814</v>
      </c>
      <c r="D7" s="27">
        <v>5276058</v>
      </c>
      <c r="E7" s="15" t="s">
        <v>102</v>
      </c>
    </row>
    <row r="8" spans="2:5" ht="15" customHeight="1" x14ac:dyDescent="0.3">
      <c r="B8" s="12" t="s">
        <v>103</v>
      </c>
      <c r="C8" s="27">
        <f>INC_depreciation</f>
        <v>31665247</v>
      </c>
      <c r="D8" s="27">
        <v>22627124</v>
      </c>
      <c r="E8" s="15" t="s">
        <v>102</v>
      </c>
    </row>
    <row r="9" spans="2:5" ht="15" customHeight="1" x14ac:dyDescent="0.3">
      <c r="B9" s="28" t="s">
        <v>104</v>
      </c>
      <c r="E9" s="15"/>
    </row>
    <row r="10" spans="2:5" ht="15" customHeight="1" x14ac:dyDescent="0.3">
      <c r="B10" s="12" t="s">
        <v>105</v>
      </c>
      <c r="C10" s="19">
        <v>-20235943</v>
      </c>
      <c r="D10" s="19">
        <v>-95017737</v>
      </c>
      <c r="E10" s="15" t="s">
        <v>106</v>
      </c>
    </row>
    <row r="11" spans="2:5" ht="15" customHeight="1" x14ac:dyDescent="0.3">
      <c r="B11" s="12" t="s">
        <v>107</v>
      </c>
      <c r="C11" s="19">
        <v>-67530856</v>
      </c>
      <c r="D11" s="19">
        <v>-23011001</v>
      </c>
      <c r="E11" s="15" t="s">
        <v>106</v>
      </c>
    </row>
    <row r="12" spans="2:5" ht="15" customHeight="1" x14ac:dyDescent="0.3">
      <c r="B12" s="12" t="s">
        <v>108</v>
      </c>
      <c r="C12" s="19">
        <v>3985858</v>
      </c>
      <c r="D12" s="19">
        <v>-3116968</v>
      </c>
      <c r="E12" s="15" t="s">
        <v>106</v>
      </c>
    </row>
    <row r="13" spans="2:5" ht="15" customHeight="1" x14ac:dyDescent="0.3">
      <c r="B13" s="12" t="s">
        <v>109</v>
      </c>
      <c r="C13" s="19">
        <v>12750861</v>
      </c>
      <c r="D13" s="19">
        <v>10160792</v>
      </c>
      <c r="E13" s="15" t="s">
        <v>106</v>
      </c>
    </row>
    <row r="14" spans="2:5" ht="15" customHeight="1" x14ac:dyDescent="0.3">
      <c r="B14" s="12" t="s">
        <v>110</v>
      </c>
      <c r="C14" s="19">
        <v>97154801</v>
      </c>
      <c r="D14" s="19">
        <v>99548789</v>
      </c>
      <c r="E14" s="15" t="s">
        <v>106</v>
      </c>
    </row>
    <row r="15" spans="2:5" ht="15" customHeight="1" x14ac:dyDescent="0.3">
      <c r="B15" s="20" t="s">
        <v>111</v>
      </c>
      <c r="C15" s="21">
        <f>SUM(C10:C14)</f>
        <v>26124721</v>
      </c>
      <c r="D15" s="21">
        <f>SUM(D10:D14)</f>
        <v>-11436125</v>
      </c>
      <c r="E15" s="15"/>
    </row>
    <row r="16" spans="2:5" ht="16.5" customHeight="1" x14ac:dyDescent="0.3">
      <c r="B16" s="5" t="s">
        <v>112</v>
      </c>
      <c r="C16" s="22">
        <f>C7+C8+C15</f>
        <v>68854782</v>
      </c>
      <c r="D16" s="22">
        <f>D7+D8+D15</f>
        <v>16467057</v>
      </c>
      <c r="E16" s="15"/>
    </row>
    <row r="17" spans="2:5" ht="15.75" x14ac:dyDescent="0.3">
      <c r="E17" s="15"/>
    </row>
    <row r="18" spans="2:5" ht="15" customHeight="1" x14ac:dyDescent="0.3">
      <c r="B18" s="18" t="s">
        <v>113</v>
      </c>
      <c r="E18" s="15"/>
    </row>
    <row r="19" spans="2:5" ht="15" customHeight="1" x14ac:dyDescent="0.3">
      <c r="B19" s="12" t="s">
        <v>114</v>
      </c>
      <c r="C19" s="19">
        <v>-76157072</v>
      </c>
      <c r="D19" s="19">
        <v>-48567437</v>
      </c>
      <c r="E19" s="15"/>
    </row>
    <row r="20" spans="2:5" ht="15" customHeight="1" x14ac:dyDescent="0.3">
      <c r="B20" s="12" t="s">
        <v>115</v>
      </c>
      <c r="C20" s="19">
        <v>65772180</v>
      </c>
      <c r="D20" s="19">
        <v>84186330</v>
      </c>
      <c r="E20" s="15"/>
    </row>
    <row r="21" spans="2:5" ht="15" customHeight="1" x14ac:dyDescent="0.3">
      <c r="B21" s="12" t="s">
        <v>116</v>
      </c>
      <c r="C21" s="19">
        <v>-129543511</v>
      </c>
      <c r="D21" s="19">
        <v>-52461980</v>
      </c>
      <c r="E21" s="15"/>
    </row>
    <row r="22" spans="2:5" ht="16.5" customHeight="1" x14ac:dyDescent="0.3">
      <c r="B22" s="5" t="s">
        <v>117</v>
      </c>
      <c r="C22" s="22">
        <f>SUM(C19:C21)</f>
        <v>-139928403</v>
      </c>
      <c r="D22" s="22">
        <f>SUM(D19:D21)</f>
        <v>-16843087</v>
      </c>
      <c r="E22" s="15"/>
    </row>
    <row r="23" spans="2:5" ht="15.75" x14ac:dyDescent="0.3">
      <c r="E23" s="15"/>
    </row>
    <row r="24" spans="2:5" ht="15" customHeight="1" x14ac:dyDescent="0.3">
      <c r="B24" s="18" t="s">
        <v>118</v>
      </c>
      <c r="E24" s="15"/>
    </row>
    <row r="25" spans="2:5" ht="15" customHeight="1" x14ac:dyDescent="0.3">
      <c r="B25" s="12" t="s">
        <v>119</v>
      </c>
      <c r="C25" s="19">
        <v>18811339</v>
      </c>
      <c r="D25" s="19">
        <v>-21046056</v>
      </c>
      <c r="E25" s="15"/>
    </row>
    <row r="26" spans="2:5" ht="15" customHeight="1" x14ac:dyDescent="0.3">
      <c r="B26" s="12" t="s">
        <v>120</v>
      </c>
      <c r="C26" s="19">
        <v>83383279</v>
      </c>
      <c r="D26" s="19">
        <v>27601580</v>
      </c>
      <c r="E26" s="15"/>
    </row>
    <row r="27" spans="2:5" ht="15" customHeight="1" x14ac:dyDescent="0.3">
      <c r="B27" s="12" t="s">
        <v>121</v>
      </c>
      <c r="C27" s="19">
        <v>-2577141</v>
      </c>
      <c r="D27" s="19">
        <v>-666188</v>
      </c>
      <c r="E27" s="15"/>
    </row>
    <row r="28" spans="2:5" ht="15" customHeight="1" x14ac:dyDescent="0.3">
      <c r="B28" s="12" t="s">
        <v>122</v>
      </c>
      <c r="C28" s="19">
        <v>2267028</v>
      </c>
      <c r="D28" s="19">
        <v>15659006</v>
      </c>
      <c r="E28" s="15"/>
    </row>
    <row r="29" spans="2:5" ht="15" customHeight="1" x14ac:dyDescent="0.3">
      <c r="B29" s="12" t="s">
        <v>123</v>
      </c>
      <c r="C29" s="19">
        <f>-265382+390107</f>
        <v>124725</v>
      </c>
      <c r="D29" s="19">
        <v>-6234548</v>
      </c>
      <c r="E29" s="15"/>
    </row>
    <row r="30" spans="2:5" ht="16.5" customHeight="1" x14ac:dyDescent="0.3">
      <c r="B30" s="5" t="s">
        <v>124</v>
      </c>
      <c r="C30" s="22">
        <f>SUM(C25:C29)</f>
        <v>102009230</v>
      </c>
      <c r="D30" s="22">
        <f>SUM(D25:D29)</f>
        <v>15313794</v>
      </c>
      <c r="E30" s="15"/>
    </row>
    <row r="31" spans="2:5" ht="15.75" x14ac:dyDescent="0.3">
      <c r="E31" s="15"/>
    </row>
    <row r="32" spans="2:5" ht="16.5" customHeight="1" x14ac:dyDescent="0.3">
      <c r="B32" s="5" t="s">
        <v>125</v>
      </c>
      <c r="C32" s="22">
        <f>C16+C22+C30</f>
        <v>30935609</v>
      </c>
      <c r="D32" s="22">
        <f>D16+D22+D30</f>
        <v>14937764</v>
      </c>
      <c r="E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29" sqref="A29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4">
      <c r="B2" s="14" t="s">
        <v>126</v>
      </c>
    </row>
    <row r="3" spans="2:5" ht="15.75" x14ac:dyDescent="0.3">
      <c r="B3" s="15" t="s">
        <v>127</v>
      </c>
    </row>
    <row r="5" spans="2:5" ht="16.5" customHeight="1" x14ac:dyDescent="0.3">
      <c r="B5" s="23" t="s">
        <v>128</v>
      </c>
      <c r="C5" s="23" t="s">
        <v>129</v>
      </c>
      <c r="D5" s="23" t="s">
        <v>130</v>
      </c>
      <c r="E5" s="23" t="s">
        <v>131</v>
      </c>
    </row>
    <row r="6" spans="2:5" ht="15" customHeight="1" x14ac:dyDescent="0.3">
      <c r="B6" s="12" t="s">
        <v>132</v>
      </c>
      <c r="C6" s="29">
        <v>2025</v>
      </c>
      <c r="D6" s="30"/>
      <c r="E6" s="30" t="s">
        <v>133</v>
      </c>
    </row>
    <row r="7" spans="2:5" ht="15" customHeight="1" x14ac:dyDescent="0.3">
      <c r="B7" s="12" t="s">
        <v>134</v>
      </c>
      <c r="C7" s="31">
        <f>yearCurrent-1</f>
        <v>2024</v>
      </c>
      <c r="D7" s="30" t="s">
        <v>135</v>
      </c>
      <c r="E7" s="30" t="s">
        <v>136</v>
      </c>
    </row>
    <row r="8" spans="2:5" ht="15" customHeight="1" x14ac:dyDescent="0.3">
      <c r="B8" s="12" t="s">
        <v>332</v>
      </c>
      <c r="C8" s="60">
        <v>169600</v>
      </c>
      <c r="D8" s="30"/>
      <c r="E8" s="30" t="s">
        <v>137</v>
      </c>
    </row>
    <row r="9" spans="2:5" ht="15" customHeight="1" x14ac:dyDescent="0.3">
      <c r="B9" s="12" t="s">
        <v>138</v>
      </c>
      <c r="C9" s="32">
        <v>7706</v>
      </c>
      <c r="D9" s="30"/>
      <c r="E9" s="30" t="s">
        <v>139</v>
      </c>
    </row>
    <row r="10" spans="2:5" ht="15" customHeight="1" x14ac:dyDescent="0.3">
      <c r="B10" s="12" t="s">
        <v>140</v>
      </c>
      <c r="C10" s="33">
        <v>0.12</v>
      </c>
      <c r="D10" s="30"/>
      <c r="E10" s="30" t="s">
        <v>141</v>
      </c>
    </row>
    <row r="11" spans="2:5" ht="15" customHeight="1" x14ac:dyDescent="0.3">
      <c r="B11" s="12" t="s">
        <v>142</v>
      </c>
      <c r="C11" s="33">
        <v>0.2</v>
      </c>
      <c r="D11" s="30"/>
      <c r="E11" s="30" t="s">
        <v>143</v>
      </c>
    </row>
    <row r="12" spans="2:5" ht="15" customHeight="1" x14ac:dyDescent="0.3">
      <c r="B12" s="12" t="s">
        <v>334</v>
      </c>
      <c r="C12" s="34">
        <f>share_price*shares_outstanding</f>
        <v>1306937600</v>
      </c>
      <c r="D12" s="30" t="s">
        <v>144</v>
      </c>
      <c r="E12" s="30" t="s">
        <v>145</v>
      </c>
    </row>
    <row r="14" spans="2:5" ht="16.5" customHeight="1" x14ac:dyDescent="0.3">
      <c r="B14" s="53" t="s">
        <v>146</v>
      </c>
      <c r="C14" s="48"/>
      <c r="D14" s="48"/>
      <c r="E14" s="48"/>
    </row>
    <row r="15" spans="2:5" ht="15" customHeight="1" x14ac:dyDescent="0.3">
      <c r="B15" s="12" t="s">
        <v>147</v>
      </c>
      <c r="C15" s="35">
        <f>BAL_equity_shareholders_prior</f>
        <v>153834481</v>
      </c>
      <c r="D15" s="30" t="s">
        <v>148</v>
      </c>
      <c r="E15" s="30" t="s">
        <v>149</v>
      </c>
    </row>
    <row r="16" spans="2:5" ht="15" customHeight="1" x14ac:dyDescent="0.3">
      <c r="B16" s="12" t="s">
        <v>150</v>
      </c>
      <c r="C16" s="35">
        <f>BAL_inventories_prior</f>
        <v>114090183</v>
      </c>
      <c r="D16" s="30" t="s">
        <v>151</v>
      </c>
      <c r="E16" s="30" t="s">
        <v>152</v>
      </c>
    </row>
    <row r="17" spans="2:5" ht="15" customHeight="1" x14ac:dyDescent="0.3">
      <c r="B17" s="12" t="s">
        <v>153</v>
      </c>
      <c r="C17" s="35">
        <f>BAL_receivables_prior</f>
        <v>190046565</v>
      </c>
      <c r="D17" s="30" t="s">
        <v>154</v>
      </c>
      <c r="E17" s="30" t="s">
        <v>155</v>
      </c>
    </row>
    <row r="18" spans="2:5" ht="15" customHeight="1" x14ac:dyDescent="0.3">
      <c r="B18" s="12" t="s">
        <v>156</v>
      </c>
      <c r="C18" s="35">
        <f>BAL_assets_total_prior</f>
        <v>836603903</v>
      </c>
      <c r="D18" s="30" t="s">
        <v>157</v>
      </c>
      <c r="E18" s="30" t="s">
        <v>158</v>
      </c>
    </row>
    <row r="19" spans="2:5" ht="15" customHeight="1" x14ac:dyDescent="0.3">
      <c r="B19" s="12" t="s">
        <v>159</v>
      </c>
      <c r="C19" s="35">
        <f>BAL_debt_long_term_prior+BAL_equity_shareholders_prior</f>
        <v>286565393</v>
      </c>
      <c r="D19" s="30" t="s">
        <v>160</v>
      </c>
      <c r="E19" s="30" t="s">
        <v>161</v>
      </c>
    </row>
    <row r="21" spans="2:5" ht="16.5" customHeight="1" x14ac:dyDescent="0.3">
      <c r="B21" s="53" t="s">
        <v>162</v>
      </c>
      <c r="C21" s="48"/>
      <c r="D21" s="48"/>
      <c r="E21" s="48"/>
    </row>
    <row r="22" spans="2:5" ht="15" customHeight="1" x14ac:dyDescent="0.3">
      <c r="B22" s="12" t="s">
        <v>163</v>
      </c>
      <c r="C22" s="35">
        <f>INC_net+(1-tax_rate)*INC_interest_expense</f>
        <v>34392602.799999997</v>
      </c>
      <c r="D22" s="30" t="s">
        <v>164</v>
      </c>
      <c r="E22" s="30" t="s">
        <v>165</v>
      </c>
    </row>
    <row r="23" spans="2:5" ht="15" customHeight="1" x14ac:dyDescent="0.3">
      <c r="B23" s="12" t="s">
        <v>166</v>
      </c>
      <c r="C23" s="36">
        <f>IFERROR(INC_sales/365,"")</f>
        <v>909144.00273972598</v>
      </c>
      <c r="D23" s="30" t="s">
        <v>167</v>
      </c>
      <c r="E23" s="30" t="s">
        <v>168</v>
      </c>
    </row>
    <row r="24" spans="2:5" ht="15" customHeight="1" x14ac:dyDescent="0.3">
      <c r="B24" s="12" t="s">
        <v>169</v>
      </c>
      <c r="C24" s="35">
        <f>BAL_equity_shareholders_curr</f>
        <v>151488935</v>
      </c>
      <c r="D24" s="30" t="s">
        <v>170</v>
      </c>
      <c r="E24" s="30" t="s">
        <v>171</v>
      </c>
    </row>
    <row r="25" spans="2:5" ht="15" customHeight="1" x14ac:dyDescent="0.3">
      <c r="B25" s="12" t="s">
        <v>172</v>
      </c>
      <c r="C25" s="35">
        <f>BAL_cash_marketable_securities_curr</f>
        <v>83380686</v>
      </c>
      <c r="D25" s="30" t="s">
        <v>173</v>
      </c>
      <c r="E25" s="30" t="s">
        <v>174</v>
      </c>
    </row>
    <row r="26" spans="2:5" ht="15" customHeight="1" x14ac:dyDescent="0.3">
      <c r="B26" s="12" t="s">
        <v>175</v>
      </c>
      <c r="C26" s="35">
        <f>BAL_assets_current_curr</f>
        <v>658772464</v>
      </c>
      <c r="D26" s="30" t="s">
        <v>176</v>
      </c>
      <c r="E26" s="30" t="s">
        <v>177</v>
      </c>
    </row>
    <row r="27" spans="2:5" ht="15" customHeight="1" x14ac:dyDescent="0.3">
      <c r="B27" s="12" t="s">
        <v>178</v>
      </c>
      <c r="C27" s="35">
        <f>BAL_liabilities_current_curr</f>
        <v>587454564</v>
      </c>
      <c r="D27" s="30" t="s">
        <v>179</v>
      </c>
      <c r="E27" s="30" t="s">
        <v>180</v>
      </c>
    </row>
    <row r="28" spans="2:5" ht="15" customHeight="1" x14ac:dyDescent="0.3">
      <c r="B28" s="12" t="s">
        <v>181</v>
      </c>
      <c r="C28" s="36">
        <f>IFERROR(INC_cost_goods_sold/365,"")</f>
        <v>678053.44383561646</v>
      </c>
      <c r="D28" s="30" t="s">
        <v>182</v>
      </c>
      <c r="E28" s="30" t="s">
        <v>183</v>
      </c>
    </row>
    <row r="29" spans="2:5" ht="15" customHeight="1" x14ac:dyDescent="0.3">
      <c r="B29" s="12" t="s">
        <v>67</v>
      </c>
      <c r="C29" s="35">
        <f>BAL_debt_long_term_curr</f>
        <v>224500548</v>
      </c>
      <c r="D29" s="30" t="s">
        <v>184</v>
      </c>
      <c r="E29" s="30" t="s">
        <v>185</v>
      </c>
    </row>
    <row r="30" spans="2:5" ht="15" customHeight="1" x14ac:dyDescent="0.3">
      <c r="B30" s="12" t="s">
        <v>186</v>
      </c>
      <c r="C30" s="35">
        <f>BAL_assets_current_curr-BAL_liabilities_current_curr</f>
        <v>71317900</v>
      </c>
      <c r="D30" s="30" t="s">
        <v>187</v>
      </c>
      <c r="E30" s="30" t="s">
        <v>188</v>
      </c>
    </row>
    <row r="31" spans="2:5" ht="15" customHeight="1" x14ac:dyDescent="0.3">
      <c r="B31" s="12" t="s">
        <v>189</v>
      </c>
      <c r="C31" s="35">
        <f>BAL_assets_total_curr</f>
        <v>1118622625</v>
      </c>
      <c r="D31" s="30" t="s">
        <v>190</v>
      </c>
      <c r="E31" s="30" t="s">
        <v>191</v>
      </c>
    </row>
    <row r="32" spans="2:5" ht="15" customHeight="1" x14ac:dyDescent="0.3">
      <c r="B32" s="12" t="s">
        <v>192</v>
      </c>
      <c r="C32" s="35">
        <f>BAL_debt_long_term_curr+BAL_equity_shareholders_curr</f>
        <v>375989483</v>
      </c>
      <c r="D32" s="30" t="s">
        <v>193</v>
      </c>
      <c r="E32" s="30" t="s">
        <v>194</v>
      </c>
    </row>
    <row r="33" spans="2:6" ht="15" customHeight="1" x14ac:dyDescent="0.3">
      <c r="B33" s="12" t="s">
        <v>195</v>
      </c>
      <c r="C33" s="35">
        <f>BAL_liabilities_total_curr</f>
        <v>967133690</v>
      </c>
      <c r="D33" s="30" t="s">
        <v>196</v>
      </c>
      <c r="E33" s="30" t="s">
        <v>197</v>
      </c>
    </row>
    <row r="35" spans="2:6" ht="16.5" customHeight="1" x14ac:dyDescent="0.3">
      <c r="B35" s="53" t="s">
        <v>198</v>
      </c>
      <c r="C35" s="48"/>
      <c r="D35" s="48"/>
      <c r="E35" s="48"/>
    </row>
    <row r="36" spans="2:6" ht="15" customHeight="1" x14ac:dyDescent="0.3">
      <c r="B36" s="12" t="s">
        <v>199</v>
      </c>
      <c r="C36" s="36">
        <f>AVERAGE(startYear_equity,currentYear_equity)</f>
        <v>152661708</v>
      </c>
      <c r="D36" s="30" t="s">
        <v>200</v>
      </c>
      <c r="E36" s="30" t="s">
        <v>201</v>
      </c>
    </row>
    <row r="37" spans="2:6" ht="15" customHeight="1" x14ac:dyDescent="0.3">
      <c r="B37" s="12" t="s">
        <v>202</v>
      </c>
      <c r="C37" s="36">
        <f>AVERAGE(startYear_total_assets,currentYear_assets_total)</f>
        <v>977613264</v>
      </c>
      <c r="D37" s="30" t="s">
        <v>203</v>
      </c>
      <c r="E37" s="30" t="s">
        <v>204</v>
      </c>
    </row>
    <row r="38" spans="2:6" ht="15" customHeight="1" x14ac:dyDescent="0.3">
      <c r="B38" s="12" t="s">
        <v>205</v>
      </c>
      <c r="C38" s="36">
        <f>AVERAGE(startYear_total_capitalization,currentYear_total_capitalization)</f>
        <v>331277438</v>
      </c>
      <c r="D38" s="30" t="s">
        <v>206</v>
      </c>
      <c r="E38" s="30" t="s">
        <v>207</v>
      </c>
    </row>
    <row r="41" spans="2:6" ht="16.5" customHeight="1" x14ac:dyDescent="0.3">
      <c r="B41" s="23" t="s">
        <v>208</v>
      </c>
      <c r="C41" s="23" t="s">
        <v>209</v>
      </c>
      <c r="D41" s="23" t="s">
        <v>210</v>
      </c>
      <c r="E41" s="23" t="s">
        <v>131</v>
      </c>
      <c r="F41" s="23" t="s">
        <v>211</v>
      </c>
    </row>
    <row r="42" spans="2:6" ht="16.5" customHeight="1" x14ac:dyDescent="0.3">
      <c r="B42" s="5" t="s">
        <v>212</v>
      </c>
      <c r="C42" s="1"/>
      <c r="D42" s="1"/>
      <c r="E42" s="1"/>
    </row>
    <row r="43" spans="2:6" ht="15" customHeight="1" x14ac:dyDescent="0.3">
      <c r="B43" s="12" t="s">
        <v>213</v>
      </c>
      <c r="C43" s="37"/>
      <c r="D43" s="30" t="s">
        <v>214</v>
      </c>
      <c r="E43" s="30"/>
    </row>
    <row r="44" spans="2:6" ht="15" customHeight="1" x14ac:dyDescent="0.3">
      <c r="B44" s="12" t="s">
        <v>215</v>
      </c>
      <c r="C44" s="38"/>
      <c r="D44" s="30" t="s">
        <v>216</v>
      </c>
      <c r="E44" s="30"/>
    </row>
    <row r="45" spans="2:6" ht="15" customHeight="1" x14ac:dyDescent="0.3">
      <c r="B45" s="12" t="s">
        <v>217</v>
      </c>
      <c r="C45" s="37"/>
      <c r="D45" s="30" t="s">
        <v>218</v>
      </c>
      <c r="E45" s="30"/>
    </row>
    <row r="46" spans="2:6" ht="16.5" customHeight="1" x14ac:dyDescent="0.3">
      <c r="B46" s="5" t="s">
        <v>219</v>
      </c>
      <c r="C46" s="1"/>
      <c r="D46" s="1"/>
      <c r="E46" s="1"/>
    </row>
    <row r="47" spans="2:6" ht="15" customHeight="1" x14ac:dyDescent="0.3">
      <c r="B47" s="12" t="s">
        <v>220</v>
      </c>
      <c r="C47" s="39"/>
      <c r="D47" s="30" t="s">
        <v>221</v>
      </c>
      <c r="E47" s="30"/>
    </row>
    <row r="48" spans="2:6" ht="15" customHeight="1" x14ac:dyDescent="0.3">
      <c r="B48" s="12" t="s">
        <v>222</v>
      </c>
      <c r="C48" s="39"/>
      <c r="D48" s="30" t="s">
        <v>223</v>
      </c>
      <c r="E48" s="30"/>
    </row>
    <row r="49" spans="2:5" ht="15" customHeight="1" x14ac:dyDescent="0.3">
      <c r="B49" s="12" t="s">
        <v>224</v>
      </c>
      <c r="C49" s="39"/>
      <c r="D49" s="30" t="s">
        <v>225</v>
      </c>
      <c r="E49" s="30"/>
    </row>
    <row r="50" spans="2:5" ht="15" customHeight="1" x14ac:dyDescent="0.3">
      <c r="B50" s="12" t="s">
        <v>226</v>
      </c>
      <c r="C50" s="39"/>
      <c r="D50" s="30" t="s">
        <v>227</v>
      </c>
      <c r="E50" s="30"/>
    </row>
    <row r="51" spans="2:5" ht="15" customHeight="1" x14ac:dyDescent="0.3">
      <c r="B51" s="12" t="s">
        <v>228</v>
      </c>
      <c r="C51" s="39"/>
      <c r="D51" s="30" t="s">
        <v>229</v>
      </c>
      <c r="E51" s="30"/>
    </row>
    <row r="52" spans="2:5" ht="15" customHeight="1" x14ac:dyDescent="0.3">
      <c r="B52" s="12" t="s">
        <v>230</v>
      </c>
      <c r="C52" s="39"/>
      <c r="D52" s="30" t="s">
        <v>231</v>
      </c>
      <c r="E52" s="30"/>
    </row>
    <row r="53" spans="2:5" ht="16.5" customHeight="1" x14ac:dyDescent="0.3">
      <c r="B53" s="5" t="s">
        <v>232</v>
      </c>
      <c r="C53" s="1"/>
      <c r="D53" s="1"/>
      <c r="E53" s="1"/>
    </row>
    <row r="54" spans="2:5" ht="15" customHeight="1" x14ac:dyDescent="0.3">
      <c r="B54" s="12" t="s">
        <v>233</v>
      </c>
      <c r="C54" s="38"/>
      <c r="D54" s="30" t="s">
        <v>234</v>
      </c>
      <c r="E54" s="30" t="s">
        <v>235</v>
      </c>
    </row>
    <row r="55" spans="2:5" ht="15" customHeight="1" x14ac:dyDescent="0.3">
      <c r="B55" s="12" t="s">
        <v>236</v>
      </c>
      <c r="C55" s="38"/>
      <c r="D55" s="30" t="s">
        <v>237</v>
      </c>
      <c r="E55" s="30"/>
    </row>
    <row r="56" spans="2:5" ht="15" customHeight="1" x14ac:dyDescent="0.3">
      <c r="B56" s="12" t="s">
        <v>238</v>
      </c>
      <c r="C56" s="40"/>
      <c r="D56" s="30" t="s">
        <v>239</v>
      </c>
      <c r="E56" s="30"/>
    </row>
    <row r="57" spans="2:5" ht="15" customHeight="1" x14ac:dyDescent="0.3">
      <c r="B57" s="12" t="s">
        <v>240</v>
      </c>
      <c r="C57" s="38"/>
      <c r="D57" s="30" t="s">
        <v>241</v>
      </c>
      <c r="E57" s="30"/>
    </row>
    <row r="58" spans="2:5" ht="15" customHeight="1" x14ac:dyDescent="0.3">
      <c r="B58" s="12" t="s">
        <v>242</v>
      </c>
      <c r="C58" s="40"/>
      <c r="D58" s="30" t="s">
        <v>243</v>
      </c>
      <c r="E58" s="30"/>
    </row>
    <row r="59" spans="2:5" ht="15" customHeight="1" x14ac:dyDescent="0.3">
      <c r="B59" s="12" t="s">
        <v>244</v>
      </c>
      <c r="C59" s="39"/>
      <c r="D59" s="30" t="s">
        <v>245</v>
      </c>
      <c r="E59" s="30"/>
    </row>
    <row r="60" spans="2:5" ht="15" customHeight="1" x14ac:dyDescent="0.3">
      <c r="B60" s="12" t="s">
        <v>246</v>
      </c>
      <c r="C60" s="39"/>
      <c r="D60" s="30" t="s">
        <v>247</v>
      </c>
      <c r="E60" s="30" t="s">
        <v>248</v>
      </c>
    </row>
    <row r="61" spans="2:5" ht="16.5" customHeight="1" x14ac:dyDescent="0.3">
      <c r="B61" s="5" t="s">
        <v>249</v>
      </c>
      <c r="C61" s="1"/>
      <c r="D61" s="1"/>
      <c r="E61" s="1"/>
    </row>
    <row r="62" spans="2:5" ht="15" customHeight="1" x14ac:dyDescent="0.3">
      <c r="B62" s="12" t="s">
        <v>250</v>
      </c>
      <c r="C62" s="39"/>
      <c r="D62" s="30" t="s">
        <v>251</v>
      </c>
      <c r="E62" s="30"/>
    </row>
    <row r="63" spans="2:5" ht="15" customHeight="1" x14ac:dyDescent="0.3">
      <c r="B63" s="12" t="s">
        <v>252</v>
      </c>
      <c r="C63" s="38"/>
      <c r="D63" s="30" t="s">
        <v>253</v>
      </c>
      <c r="E63" s="30"/>
    </row>
    <row r="64" spans="2:5" ht="15" customHeight="1" x14ac:dyDescent="0.3">
      <c r="B64" s="12" t="s">
        <v>254</v>
      </c>
      <c r="C64" s="39"/>
      <c r="D64" s="30" t="s">
        <v>255</v>
      </c>
      <c r="E64" s="30"/>
    </row>
    <row r="65" spans="2:6" ht="15" customHeight="1" x14ac:dyDescent="0.3">
      <c r="B65" s="12" t="s">
        <v>256</v>
      </c>
      <c r="C65" s="38"/>
      <c r="D65" s="30" t="s">
        <v>257</v>
      </c>
      <c r="E65" s="30"/>
    </row>
    <row r="66" spans="2:6" ht="15" customHeight="1" x14ac:dyDescent="0.3">
      <c r="B66" s="12" t="s">
        <v>258</v>
      </c>
      <c r="C66" s="38"/>
      <c r="D66" s="30" t="s">
        <v>259</v>
      </c>
      <c r="E66" s="30"/>
    </row>
    <row r="67" spans="2:6" ht="15" customHeight="1" x14ac:dyDescent="0.3">
      <c r="B67" s="12" t="s">
        <v>260</v>
      </c>
      <c r="C67" s="41"/>
      <c r="D67" s="30" t="s">
        <v>261</v>
      </c>
      <c r="E67" s="30" t="s">
        <v>262</v>
      </c>
    </row>
    <row r="68" spans="2:6" ht="15" customHeight="1" x14ac:dyDescent="0.3">
      <c r="B68" s="12" t="s">
        <v>263</v>
      </c>
      <c r="C68" s="38"/>
      <c r="D68" s="30" t="s">
        <v>264</v>
      </c>
      <c r="E68" s="30" t="s">
        <v>265</v>
      </c>
    </row>
    <row r="69" spans="2:6" ht="16.5" customHeight="1" x14ac:dyDescent="0.3">
      <c r="B69" s="5" t="s">
        <v>266</v>
      </c>
      <c r="C69" s="1"/>
      <c r="D69" s="1"/>
      <c r="E69" s="1"/>
    </row>
    <row r="70" spans="2:6" ht="15" customHeight="1" x14ac:dyDescent="0.3">
      <c r="B70" s="12" t="s">
        <v>267</v>
      </c>
      <c r="C70" s="39"/>
      <c r="D70" s="30" t="s">
        <v>268</v>
      </c>
      <c r="E70" s="30"/>
    </row>
    <row r="71" spans="2:6" ht="15" customHeight="1" x14ac:dyDescent="0.3">
      <c r="B71" s="12" t="s">
        <v>269</v>
      </c>
      <c r="C71" s="38"/>
      <c r="D71" s="30" t="s">
        <v>270</v>
      </c>
      <c r="E71" s="30"/>
    </row>
    <row r="72" spans="2:6" ht="15" customHeight="1" x14ac:dyDescent="0.3">
      <c r="B72" s="12" t="s">
        <v>271</v>
      </c>
      <c r="C72" s="38"/>
      <c r="D72" s="30" t="s">
        <v>272</v>
      </c>
      <c r="E72" s="30"/>
    </row>
    <row r="73" spans="2:6" ht="15" customHeight="1" x14ac:dyDescent="0.3">
      <c r="B73" s="12" t="s">
        <v>273</v>
      </c>
      <c r="C73" s="38"/>
      <c r="D73" s="30" t="s">
        <v>274</v>
      </c>
      <c r="E73" s="30"/>
    </row>
    <row r="74" spans="2:6" ht="16.5" customHeight="1" x14ac:dyDescent="0.3">
      <c r="B74" s="5" t="s">
        <v>275</v>
      </c>
      <c r="C74" s="1"/>
      <c r="D74" s="1"/>
      <c r="E74" s="1"/>
    </row>
    <row r="75" spans="2:6" ht="15" customHeight="1" x14ac:dyDescent="0.3">
      <c r="B75" s="12" t="s">
        <v>276</v>
      </c>
      <c r="C75" s="39"/>
      <c r="D75" s="30" t="s">
        <v>277</v>
      </c>
      <c r="E75" s="30"/>
      <c r="F75" s="43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278</v>
      </c>
      <c r="C76" s="39"/>
      <c r="D76" s="30" t="s">
        <v>279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2"/>
  <sheetViews>
    <sheetView showGridLines="0" tabSelected="1" workbookViewId="0">
      <selection activeCell="C36" sqref="C36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4">
      <c r="B2" s="14" t="s">
        <v>280</v>
      </c>
    </row>
    <row r="4" spans="2:3" x14ac:dyDescent="0.25">
      <c r="B4" s="42" t="s">
        <v>281</v>
      </c>
      <c r="C4" s="4" t="s">
        <v>282</v>
      </c>
    </row>
    <row r="5" spans="2:3" x14ac:dyDescent="0.25">
      <c r="B5" s="42" t="s">
        <v>283</v>
      </c>
      <c r="C5" s="4" t="s">
        <v>284</v>
      </c>
    </row>
    <row r="6" spans="2:3" ht="16.5" customHeight="1" x14ac:dyDescent="0.25">
      <c r="B6" s="42" t="s">
        <v>285</v>
      </c>
      <c r="C6" s="44" t="s">
        <v>314</v>
      </c>
    </row>
    <row r="7" spans="2:3" x14ac:dyDescent="0.25">
      <c r="B7" s="42" t="s">
        <v>286</v>
      </c>
      <c r="C7" s="44" t="s">
        <v>312</v>
      </c>
    </row>
    <row r="8" spans="2:3" x14ac:dyDescent="0.25">
      <c r="B8" s="42" t="s">
        <v>287</v>
      </c>
      <c r="C8" s="44" t="s">
        <v>313</v>
      </c>
    </row>
    <row r="9" spans="2:3" ht="45" x14ac:dyDescent="0.25">
      <c r="B9" s="42" t="s">
        <v>288</v>
      </c>
      <c r="C9" s="44" t="s">
        <v>311</v>
      </c>
    </row>
    <row r="10" spans="2:3" ht="30" x14ac:dyDescent="0.25">
      <c r="B10" s="42" t="s">
        <v>289</v>
      </c>
      <c r="C10" s="44" t="s">
        <v>317</v>
      </c>
    </row>
    <row r="11" spans="2:3" ht="30" x14ac:dyDescent="0.25">
      <c r="B11" s="42" t="s">
        <v>290</v>
      </c>
      <c r="C11" s="44" t="s">
        <v>315</v>
      </c>
    </row>
    <row r="12" spans="2:3" ht="90" x14ac:dyDescent="0.25">
      <c r="B12" s="42" t="s">
        <v>291</v>
      </c>
      <c r="C12" s="44" t="s">
        <v>310</v>
      </c>
    </row>
    <row r="13" spans="2:3" ht="30" x14ac:dyDescent="0.25">
      <c r="B13" s="42" t="s">
        <v>292</v>
      </c>
      <c r="C13" s="44" t="s">
        <v>293</v>
      </c>
    </row>
    <row r="14" spans="2:3" ht="45" x14ac:dyDescent="0.25">
      <c r="B14" s="42" t="s">
        <v>294</v>
      </c>
      <c r="C14" s="44" t="s">
        <v>333</v>
      </c>
    </row>
    <row r="15" spans="2:3" ht="17.25" customHeight="1" x14ac:dyDescent="0.25">
      <c r="B15" s="42" t="s">
        <v>295</v>
      </c>
      <c r="C15" s="4" t="s">
        <v>296</v>
      </c>
    </row>
    <row r="16" spans="2:3" ht="29.1" customHeight="1" x14ac:dyDescent="0.25">
      <c r="B16" s="42" t="s">
        <v>297</v>
      </c>
      <c r="C16" s="4" t="s">
        <v>298</v>
      </c>
    </row>
    <row r="17" spans="2:3" ht="29.1" customHeight="1" x14ac:dyDescent="0.25">
      <c r="B17" s="42" t="s">
        <v>299</v>
      </c>
      <c r="C17" s="4" t="s">
        <v>300</v>
      </c>
    </row>
    <row r="18" spans="2:3" ht="29.1" customHeight="1" x14ac:dyDescent="0.25">
      <c r="B18" s="42" t="s">
        <v>301</v>
      </c>
      <c r="C18" s="4" t="s">
        <v>302</v>
      </c>
    </row>
    <row r="19" spans="2:3" ht="29.1" customHeight="1" x14ac:dyDescent="0.25">
      <c r="B19" s="42" t="s">
        <v>303</v>
      </c>
      <c r="C19" s="4" t="s">
        <v>304</v>
      </c>
    </row>
    <row r="20" spans="2:3" ht="21" customHeight="1" x14ac:dyDescent="0.25">
      <c r="B20" s="42" t="s">
        <v>305</v>
      </c>
    </row>
    <row r="21" spans="2:3" ht="32.1" customHeight="1" x14ac:dyDescent="0.25">
      <c r="B21" s="42" t="s">
        <v>306</v>
      </c>
      <c r="C21" s="4" t="s">
        <v>307</v>
      </c>
    </row>
    <row r="22" spans="2:3" ht="45" customHeight="1" x14ac:dyDescent="0.25">
      <c r="B22" s="42" t="s">
        <v>308</v>
      </c>
      <c r="C22" s="4" t="s">
        <v>309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 Tran</cp:lastModifiedBy>
  <dcterms:created xsi:type="dcterms:W3CDTF">2026-04-24T19:43:19Z</dcterms:created>
  <dcterms:modified xsi:type="dcterms:W3CDTF">2026-05-22T16:19:34Z</dcterms:modified>
</cp:coreProperties>
</file>